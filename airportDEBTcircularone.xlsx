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otn\Downloads\"/>
    </mc:Choice>
  </mc:AlternateContent>
  <xr:revisionPtr revIDLastSave="0" documentId="13_ncr:1_{6E5ADA94-68EF-49FE-85BC-70F518A8418E}" xr6:coauthVersionLast="47" xr6:coauthVersionMax="47" xr10:uidLastSave="{00000000-0000-0000-0000-000000000000}"/>
  <bookViews>
    <workbookView xWindow="-110" yWindow="-110" windowWidth="19420" windowHeight="11500" firstSheet="1" activeTab="1" xr2:uid="{4D78E308-818D-4B4E-A968-9C2C7333C9A5}"/>
  </bookViews>
  <sheets>
    <sheet name="Inputs" sheetId="1" r:id="rId1"/>
    <sheet name="Operating_Cashflows" sheetId="2" r:id="rId2"/>
    <sheet name="Debt_Schedule" sheetId="3" r:id="rId3"/>
    <sheet name="Debt checks" sheetId="4" r:id="rId4"/>
    <sheet name="Summary" sheetId="5" r:id="rId5"/>
  </sheets>
  <definedNames>
    <definedName name="DSCR">Debt_Schedule!$G$2:$G$16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1" i="5"/>
  <c r="A6" i="5"/>
  <c r="A22" i="5"/>
  <c r="A16" i="5"/>
  <c r="A15" i="5"/>
  <c r="A14" i="5"/>
  <c r="A13" i="5"/>
  <c r="A10" i="5"/>
  <c r="A7" i="5"/>
  <c r="A2" i="5"/>
  <c r="A5" i="5"/>
  <c r="A9" i="5"/>
  <c r="A12" i="5"/>
  <c r="A17" i="5"/>
  <c r="A19" i="5"/>
  <c r="A20" i="5"/>
  <c r="A21" i="5"/>
  <c r="A23" i="5"/>
  <c r="A25" i="5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2" i="3"/>
  <c r="B2" i="3"/>
  <c r="B18" i="3" s="1"/>
  <c r="C4" i="3"/>
  <c r="F4" i="3" s="1"/>
  <c r="E4" i="3" s="1"/>
  <c r="C5" i="3"/>
  <c r="C6" i="3"/>
  <c r="C7" i="3"/>
  <c r="C8" i="3"/>
  <c r="F8" i="3" s="1"/>
  <c r="C9" i="3"/>
  <c r="C10" i="3"/>
  <c r="F10" i="3" s="1"/>
  <c r="C11" i="3"/>
  <c r="F11" i="3" s="1"/>
  <c r="C12" i="3"/>
  <c r="F12" i="3" s="1"/>
  <c r="C13" i="3"/>
  <c r="F13" i="3" s="1"/>
  <c r="C14" i="3"/>
  <c r="F14" i="3" s="1"/>
  <c r="E14" i="3" s="1"/>
  <c r="C15" i="3"/>
  <c r="F15" i="3" s="1"/>
  <c r="E15" i="3" s="1"/>
  <c r="C16" i="3"/>
  <c r="F16" i="3" s="1"/>
  <c r="E16" i="3" s="1"/>
  <c r="C3" i="3"/>
  <c r="F3" i="3" s="1"/>
  <c r="C2" i="3"/>
  <c r="E3" i="3" l="1"/>
  <c r="D18" i="3"/>
  <c r="C18" i="3"/>
  <c r="G14" i="3"/>
  <c r="E8" i="3"/>
  <c r="G11" i="3"/>
  <c r="G10" i="3"/>
  <c r="G13" i="3"/>
  <c r="G12" i="3"/>
  <c r="G8" i="3"/>
  <c r="G16" i="3"/>
  <c r="G4" i="3"/>
  <c r="G15" i="3"/>
  <c r="G3" i="3"/>
  <c r="E13" i="3"/>
  <c r="D4" i="4"/>
  <c r="F9" i="3"/>
  <c r="E12" i="3"/>
  <c r="E11" i="3"/>
  <c r="E10" i="3"/>
  <c r="F7" i="3"/>
  <c r="F6" i="3"/>
  <c r="F2" i="3"/>
  <c r="F5" i="3"/>
  <c r="E5" i="3" l="1"/>
  <c r="H4" i="4"/>
  <c r="E6" i="3"/>
  <c r="E7" i="3"/>
  <c r="G18" i="3"/>
  <c r="G9" i="3"/>
  <c r="E2" i="3"/>
  <c r="F18" i="3"/>
  <c r="I18" i="3" s="1"/>
  <c r="G7" i="3"/>
  <c r="G5" i="3"/>
  <c r="G6" i="3"/>
  <c r="E9" i="3"/>
  <c r="G2" i="3"/>
  <c r="I2" i="3" l="1" a="1"/>
  <c r="I2" i="3" s="1"/>
  <c r="H16" i="3"/>
  <c r="B4" i="4" a="1"/>
  <c r="B4" i="4" s="1"/>
  <c r="E18" i="3"/>
  <c r="F4" i="4" l="1"/>
  <c r="H18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<sst xmlns="http://schemas.openxmlformats.org/spreadsheetml/2006/main" count="30" uniqueCount="29">
  <si>
    <t>Item</t>
  </si>
  <si>
    <t>Value</t>
  </si>
  <si>
    <t>Project life</t>
  </si>
  <si>
    <t>Construction period</t>
  </si>
  <si>
    <t>1 year</t>
  </si>
  <si>
    <t>Debt tenor</t>
  </si>
  <si>
    <t>12 years</t>
  </si>
  <si>
    <t>Interest rate</t>
  </si>
  <si>
    <t>Target DSCR</t>
  </si>
  <si>
    <t>Opening debt balance</t>
  </si>
  <si>
    <t>Corporate tax</t>
  </si>
  <si>
    <t>15 years</t>
  </si>
  <si>
    <t>Year</t>
  </si>
  <si>
    <t>Revenue</t>
  </si>
  <si>
    <t>OpEx</t>
  </si>
  <si>
    <t>Maintenance</t>
  </si>
  <si>
    <t>Opening Debt</t>
  </si>
  <si>
    <t>CFADS</t>
  </si>
  <si>
    <t>Interest</t>
  </si>
  <si>
    <t>Principal</t>
  </si>
  <si>
    <t>Debt Service</t>
  </si>
  <si>
    <t>DSCR</t>
  </si>
  <si>
    <t>Closing Debt</t>
  </si>
  <si>
    <t>DSCR consistency check</t>
  </si>
  <si>
    <t>Cash leakage check</t>
  </si>
  <si>
    <t>Debt fully repaid check</t>
  </si>
  <si>
    <t>TOTAL :</t>
  </si>
  <si>
    <t>Cash sweep</t>
  </si>
  <si>
    <t>Lock-up trigger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</si>
</sst>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"/>
    <numFmt numFmtId="165" formatCode="[$$-409]#,##0.00"/>
    <numFmt numFmtId="168" formatCode="_-[$$-409]* #,##0_ ;_-[$$-409]* \-#,##0\ ;_-[$$-409]* &quot;-&quot;_ ;_-@_ 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badi"/>
      <family val="2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vertical="center" wrapText="1"/>
    </xf>
    <xf numFmtId="164" fontId="0" fillId="3" borderId="2" xfId="0" applyNumberFormat="1" applyFont="1" applyFill="1" applyBorder="1"/>
    <xf numFmtId="0" fontId="0" fillId="3" borderId="2" xfId="0" applyFont="1" applyFill="1" applyBorder="1" applyAlignment="1">
      <alignment horizontal="center"/>
    </xf>
    <xf numFmtId="0" fontId="0" fillId="3" borderId="2" xfId="0" applyFont="1" applyFill="1" applyBorder="1"/>
    <xf numFmtId="164" fontId="0" fillId="3" borderId="3" xfId="0" applyNumberFormat="1" applyFont="1" applyFill="1" applyBorder="1"/>
    <xf numFmtId="0" fontId="0" fillId="3" borderId="4" xfId="0" applyFont="1" applyFill="1" applyBorder="1" applyAlignment="1">
      <alignment vertical="center" wrapText="1"/>
    </xf>
    <xf numFmtId="0" fontId="0" fillId="3" borderId="4" xfId="0" applyFont="1" applyFill="1" applyBorder="1"/>
    <xf numFmtId="164" fontId="0" fillId="3" borderId="4" xfId="0" applyNumberFormat="1" applyFont="1" applyFill="1" applyBorder="1"/>
    <xf numFmtId="0" fontId="0" fillId="3" borderId="4" xfId="0" applyFont="1" applyFill="1" applyBorder="1" applyAlignment="1">
      <alignment horizontal="center"/>
    </xf>
    <xf numFmtId="164" fontId="0" fillId="3" borderId="5" xfId="0" applyNumberFormat="1" applyFont="1" applyFill="1" applyBorder="1"/>
    <xf numFmtId="165" fontId="0" fillId="3" borderId="4" xfId="0" applyNumberFormat="1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4" borderId="6" xfId="0" applyFont="1" applyFill="1" applyBorder="1"/>
    <xf numFmtId="164" fontId="0" fillId="4" borderId="6" xfId="0" applyNumberFormat="1" applyFont="1" applyFill="1" applyBorder="1"/>
    <xf numFmtId="165" fontId="0" fillId="4" borderId="6" xfId="0" applyNumberFormat="1" applyFont="1" applyFill="1" applyBorder="1"/>
    <xf numFmtId="164" fontId="0" fillId="4" borderId="1" xfId="0" applyNumberFormat="1" applyFont="1" applyFill="1" applyBorder="1"/>
    <xf numFmtId="168" fontId="0" fillId="3" borderId="2" xfId="0" applyNumberFormat="1" applyFont="1" applyFill="1" applyBorder="1" applyAlignment="1">
      <alignment horizontal="right" vertical="center"/>
    </xf>
    <xf numFmtId="168" fontId="0" fillId="3" borderId="4" xfId="0" applyNumberFormat="1" applyFont="1" applyFill="1" applyBorder="1" applyAlignment="1">
      <alignment horizontal="right" vertical="center"/>
    </xf>
    <xf numFmtId="168" fontId="0" fillId="0" borderId="4" xfId="0" applyNumberFormat="1" applyFont="1" applyBorder="1" applyAlignment="1">
      <alignment horizontal="right" vertical="center"/>
    </xf>
    <xf numFmtId="168" fontId="0" fillId="4" borderId="6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[$$-409]#,##0"/>
      <alignment horizontal="general" vertical="center" textRotation="0" wrapText="1" indent="0" justifyLastLine="0" shrinkToFit="0" readingOrder="0"/>
    </dxf>
    <dxf>
      <numFmt numFmtId="164" formatCode="[$$-409]#,##0"/>
      <alignment horizontal="general" vertical="center" textRotation="0" wrapText="1" indent="0" justifyLastLine="0" shrinkToFit="0" readingOrder="0"/>
    </dxf>
    <dxf>
      <numFmt numFmtId="164" formatCode="[$$-409]#,##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</font>
      <fill>
        <patternFill>
          <bgColor rgb="FFFF3300"/>
        </patternFill>
      </fill>
    </dxf>
    <dxf>
      <font>
        <b/>
        <i val="0"/>
      </font>
      <fill>
        <patternFill>
          <bgColor rgb="FFFF3300"/>
        </patternFill>
      </fill>
    </dxf>
    <dxf>
      <font>
        <b/>
        <i val="0"/>
      </font>
      <fill>
        <patternFill>
          <bgColor rgb="FFFF3300"/>
        </patternFill>
      </fill>
    </dxf>
    <dxf>
      <font>
        <b/>
        <i val="0"/>
      </font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0DDEAE-97CC-4BDA-AD10-D447D04702AB}" name="Table1" displayName="Table1" ref="A1:B8" totalsRowShown="0">
  <autoFilter ref="A1:B8" xr:uid="{E30DDEAE-97CC-4BDA-AD10-D447D04702AB}"/>
  <tableColumns count="2">
    <tableColumn id="1" xr3:uid="{110F3D13-605B-4F35-A9C3-3FC9CDD75042}" name="Item" dataDxfId="5"/>
    <tableColumn id="2" xr3:uid="{9B54C671-9654-4B2F-9E8A-018ECD2D50E5}" name="Valu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50298E-0154-4713-B895-595B0348CAEC}" name="Table2" displayName="Table2" ref="A1:D16" totalsRowShown="0" headerRowDxfId="0">
  <autoFilter ref="A1:D16" xr:uid="{3150298E-0154-4713-B895-595B0348CAEC}"/>
  <tableColumns count="4">
    <tableColumn id="1" xr3:uid="{AF89E99C-8EA9-44A7-8195-78D8F9FF6F70}" name="Year" dataDxfId="4"/>
    <tableColumn id="2" xr3:uid="{25F8046C-0C07-4347-ADF9-2B7CF361226A}" name="Revenue" dataDxfId="3"/>
    <tableColumn id="3" xr3:uid="{2E57312D-D497-4A64-B1FB-EBDAD0BD4822}" name="OpEx" dataDxfId="2"/>
    <tableColumn id="4" xr3:uid="{E471CD95-8B1D-4689-AB2F-4DE0218BD9D4}" name="Maintenance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52D4-890F-40A4-B993-EA542879948E}">
  <dimension ref="A1:B8"/>
  <sheetViews>
    <sheetView workbookViewId="0">
      <selection activeCell="G4" sqref="G4"/>
    </sheetView>
  </sheetViews>
  <sheetFormatPr defaultRowHeight="14.5" x14ac:dyDescent="0.35"/>
  <cols>
    <col min="1" max="1" width="12.453125" customWidth="1"/>
    <col min="2" max="2" width="14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11</v>
      </c>
    </row>
    <row r="3" spans="1:2" ht="43.5" x14ac:dyDescent="0.35">
      <c r="A3" s="1" t="s">
        <v>3</v>
      </c>
      <c r="B3" s="1" t="s">
        <v>4</v>
      </c>
    </row>
    <row r="4" spans="1:2" ht="29" x14ac:dyDescent="0.35">
      <c r="A4" s="1" t="s">
        <v>5</v>
      </c>
      <c r="B4" s="1" t="s">
        <v>6</v>
      </c>
    </row>
    <row r="5" spans="1:2" ht="29" x14ac:dyDescent="0.35">
      <c r="A5" s="1" t="s">
        <v>7</v>
      </c>
      <c r="B5" s="2">
        <v>6.25E-2</v>
      </c>
    </row>
    <row r="6" spans="1:2" ht="29" x14ac:dyDescent="0.35">
      <c r="A6" s="1" t="s">
        <v>8</v>
      </c>
      <c r="B6" s="1">
        <v>1.3</v>
      </c>
    </row>
    <row r="7" spans="1:2" ht="43.5" x14ac:dyDescent="0.35">
      <c r="A7" s="1" t="s">
        <v>9</v>
      </c>
      <c r="B7" s="3">
        <v>120000000</v>
      </c>
    </row>
    <row r="8" spans="1:2" x14ac:dyDescent="0.35">
      <c r="A8" s="1" t="s">
        <v>10</v>
      </c>
      <c r="B8" s="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977C-D473-45D9-A612-32D6D3DF1340}">
  <dimension ref="A1:D22"/>
  <sheetViews>
    <sheetView tabSelected="1" workbookViewId="0">
      <selection activeCell="F14" sqref="F14"/>
    </sheetView>
  </sheetViews>
  <sheetFormatPr defaultRowHeight="14.5" x14ac:dyDescent="0.35"/>
  <cols>
    <col min="2" max="2" width="12.54296875" customWidth="1"/>
    <col min="3" max="3" width="15.26953125" bestFit="1" customWidth="1"/>
    <col min="4" max="4" width="13.7265625" bestFit="1" customWidth="1"/>
  </cols>
  <sheetData>
    <row r="1" spans="1:4" ht="29" x14ac:dyDescent="0.35">
      <c r="A1" s="5" t="s">
        <v>12</v>
      </c>
      <c r="B1" s="5" t="s">
        <v>13</v>
      </c>
      <c r="C1" s="5" t="s">
        <v>14</v>
      </c>
      <c r="D1" s="5" t="s">
        <v>15</v>
      </c>
    </row>
    <row r="2" spans="1:4" x14ac:dyDescent="0.35">
      <c r="A2" s="1">
        <v>1</v>
      </c>
      <c r="B2" s="1">
        <v>0</v>
      </c>
      <c r="C2" s="1">
        <v>0</v>
      </c>
      <c r="D2" s="1">
        <v>0</v>
      </c>
    </row>
    <row r="3" spans="1:4" x14ac:dyDescent="0.35">
      <c r="A3" s="1">
        <v>2</v>
      </c>
      <c r="B3" s="10">
        <v>22500000</v>
      </c>
      <c r="C3" s="10">
        <v>5200000</v>
      </c>
      <c r="D3" s="10">
        <v>800000</v>
      </c>
    </row>
    <row r="4" spans="1:4" x14ac:dyDescent="0.35">
      <c r="A4" s="1">
        <v>3</v>
      </c>
      <c r="B4" s="10">
        <v>23000000</v>
      </c>
      <c r="C4" s="10">
        <v>5300000</v>
      </c>
      <c r="D4" s="10">
        <v>820000</v>
      </c>
    </row>
    <row r="5" spans="1:4" x14ac:dyDescent="0.35">
      <c r="A5" s="1">
        <v>4</v>
      </c>
      <c r="B5" s="6">
        <v>23200000</v>
      </c>
      <c r="C5" s="10">
        <v>5400000</v>
      </c>
      <c r="D5" s="10">
        <v>840000</v>
      </c>
    </row>
    <row r="6" spans="1:4" x14ac:dyDescent="0.35">
      <c r="A6" s="1">
        <v>5</v>
      </c>
      <c r="B6" s="6">
        <v>23600000</v>
      </c>
      <c r="C6" s="10">
        <v>5500000</v>
      </c>
      <c r="D6" s="10">
        <v>860000</v>
      </c>
    </row>
    <row r="7" spans="1:4" x14ac:dyDescent="0.35">
      <c r="A7" s="1">
        <v>6</v>
      </c>
      <c r="B7" s="6">
        <v>23700000</v>
      </c>
      <c r="C7" s="10">
        <v>5600000</v>
      </c>
      <c r="D7" s="10">
        <v>880000</v>
      </c>
    </row>
    <row r="8" spans="1:4" x14ac:dyDescent="0.35">
      <c r="A8" s="1">
        <v>7</v>
      </c>
      <c r="B8" s="6">
        <v>24000000</v>
      </c>
      <c r="C8" s="10">
        <v>5700000</v>
      </c>
      <c r="D8" s="10">
        <v>900000</v>
      </c>
    </row>
    <row r="9" spans="1:4" x14ac:dyDescent="0.35">
      <c r="A9" s="1">
        <v>8</v>
      </c>
      <c r="B9" s="6">
        <v>23650000</v>
      </c>
      <c r="C9" s="10">
        <v>5800000</v>
      </c>
      <c r="D9" s="10">
        <v>900000</v>
      </c>
    </row>
    <row r="10" spans="1:4" x14ac:dyDescent="0.35">
      <c r="A10" s="1">
        <v>9</v>
      </c>
      <c r="B10" s="10">
        <v>24228571.428571399</v>
      </c>
      <c r="C10" s="10">
        <v>5900000</v>
      </c>
      <c r="D10" s="10">
        <v>900000</v>
      </c>
    </row>
    <row r="11" spans="1:4" x14ac:dyDescent="0.35">
      <c r="A11" s="1">
        <v>10</v>
      </c>
      <c r="B11" s="10">
        <v>24441071.428571399</v>
      </c>
      <c r="C11" s="10">
        <v>5900000</v>
      </c>
      <c r="D11" s="10">
        <v>900000</v>
      </c>
    </row>
    <row r="12" spans="1:4" x14ac:dyDescent="0.35">
      <c r="A12" s="1">
        <v>11</v>
      </c>
      <c r="B12" s="6">
        <v>24653571.428571399</v>
      </c>
      <c r="C12" s="10">
        <v>5900000</v>
      </c>
      <c r="D12" s="10">
        <v>900000</v>
      </c>
    </row>
    <row r="13" spans="1:4" x14ac:dyDescent="0.35">
      <c r="A13" s="1">
        <v>12</v>
      </c>
      <c r="B13" s="6">
        <v>24866071.428571399</v>
      </c>
      <c r="C13" s="10">
        <v>5900000</v>
      </c>
      <c r="D13" s="10">
        <v>900000</v>
      </c>
    </row>
    <row r="14" spans="1:4" x14ac:dyDescent="0.35">
      <c r="A14" s="1">
        <v>13</v>
      </c>
      <c r="B14" s="6">
        <v>25078571.428571399</v>
      </c>
      <c r="C14" s="10">
        <v>5900000</v>
      </c>
      <c r="D14" s="10">
        <v>900000</v>
      </c>
    </row>
    <row r="15" spans="1:4" x14ac:dyDescent="0.35">
      <c r="A15" s="1">
        <v>14</v>
      </c>
      <c r="B15" s="6">
        <v>25291071.428571399</v>
      </c>
      <c r="C15" s="10">
        <v>5900000</v>
      </c>
      <c r="D15" s="10">
        <v>900000</v>
      </c>
    </row>
    <row r="16" spans="1:4" x14ac:dyDescent="0.35">
      <c r="A16" s="1">
        <v>15</v>
      </c>
      <c r="B16" s="6">
        <v>25503571.428571399</v>
      </c>
      <c r="C16" s="6">
        <v>5900000</v>
      </c>
      <c r="D16" s="6">
        <v>900000</v>
      </c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1733-6B8C-4094-9589-163C06A51C96}">
  <dimension ref="A1:I18"/>
  <sheetViews>
    <sheetView workbookViewId="0">
      <selection activeCell="H18" sqref="H18"/>
    </sheetView>
  </sheetViews>
  <sheetFormatPr defaultRowHeight="14.5" x14ac:dyDescent="0.35"/>
  <cols>
    <col min="2" max="2" width="14.1796875" customWidth="1"/>
    <col min="3" max="3" width="16.26953125" bestFit="1" customWidth="1"/>
    <col min="4" max="4" width="14.54296875" customWidth="1"/>
    <col min="5" max="5" width="12.7265625" customWidth="1"/>
    <col min="6" max="6" width="13.54296875" customWidth="1"/>
    <col min="7" max="7" width="10.08984375" customWidth="1"/>
    <col min="8" max="8" width="13.54296875" bestFit="1" customWidth="1"/>
    <col min="9" max="9" width="17.36328125" customWidth="1"/>
  </cols>
  <sheetData>
    <row r="1" spans="1:9" ht="15" thickBot="1" x14ac:dyDescent="0.4">
      <c r="A1" s="11" t="s">
        <v>12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  <c r="G1" s="11" t="s">
        <v>21</v>
      </c>
      <c r="H1" s="11" t="s">
        <v>22</v>
      </c>
      <c r="I1" s="12" t="s">
        <v>27</v>
      </c>
    </row>
    <row r="2" spans="1:9" x14ac:dyDescent="0.35">
      <c r="A2" s="13">
        <v>1</v>
      </c>
      <c r="B2" s="30">
        <f>Inputs!B7</f>
        <v>120000000</v>
      </c>
      <c r="C2" s="14">
        <f>_xlfn.LET(_xlpm.Revenue, Operating_Cashflows!B3, _xlpm.opEx, Operating_Cashflows!C3, _xlpm.Maintenance, Operating_Cashflows!D3, _xlpm.Revenue - _xlpm.opEx - _xlpm.Maintenance)</f>
        <v>16500000</v>
      </c>
      <c r="D2" s="14">
        <f>Inputs!$B$7*Inputs!$B$5</f>
        <v>7500000</v>
      </c>
      <c r="E2" s="14">
        <f>F2-D2</f>
        <v>5192307.692307692</v>
      </c>
      <c r="F2" s="14">
        <f>_xlfn.LET(_xlpm.CFADS, C2, _xlpm.TargetDSCR,  Inputs!$B$6, (_xlpm.CFADS/_xlpm.TargetDSCR))</f>
        <v>12692307.692307692</v>
      </c>
      <c r="G2" s="15">
        <f>C2/F2</f>
        <v>1.3</v>
      </c>
      <c r="H2" s="16"/>
      <c r="I2" s="17" cm="1">
        <f t="array" ref="I2:I16">_xlfn.MAP(C2:C16, F2:F16, G2:G16, _xlfn.LAMBDA(_xlpm.cfads,_xlpm.debt_service,_xlpm.dscr, _xlfn.LET(_xlpm.ExcessCash, _xlpm.cfads - _xlpm.debt_service, _xlpm.LockUpDSCR, 1.2, _xlpm.DSCRthreshold, _xlpm.dscr, _xlpm.Sweep_Percentage, 0.75, IF(_xlpm.DSCRthreshold &gt; _xlpm.LockUpDSCR, _xlpm.ExcessCash * _xlpm.Sweep_Percentage, 0))))</f>
        <v>2855769.230769231</v>
      </c>
    </row>
    <row r="3" spans="1:9" x14ac:dyDescent="0.35">
      <c r="A3" s="18">
        <v>2</v>
      </c>
      <c r="B3" s="31"/>
      <c r="C3" s="20">
        <f>_xlfn.LET(_xlpm.Revenue, Operating_Cashflows!B3, _xlpm.opEx, Operating_Cashflows!C3, _xlpm.Maintenance, Operating_Cashflows!D3, _xlpm.Revenue - _xlpm.opEx - _xlpm.Maintenance)</f>
        <v>16500000</v>
      </c>
      <c r="D3" s="20">
        <f>Inputs!$B$7*Inputs!$B$5</f>
        <v>7500000</v>
      </c>
      <c r="E3" s="20">
        <f t="shared" ref="E3:E16" si="0">F3-D3</f>
        <v>5192307.692307692</v>
      </c>
      <c r="F3" s="20">
        <f>_xlfn.LET(_xlpm.CFADS, C3, _xlpm.TargetDSCR,  Inputs!$B$6, (_xlpm.CFADS/_xlpm.TargetDSCR))</f>
        <v>12692307.692307692</v>
      </c>
      <c r="G3" s="21">
        <f t="shared" ref="G3:G16" si="1">C3/F3</f>
        <v>1.3</v>
      </c>
      <c r="H3" s="19"/>
      <c r="I3" s="22">
        <v>2855769.230769231</v>
      </c>
    </row>
    <row r="4" spans="1:9" x14ac:dyDescent="0.35">
      <c r="A4" s="18">
        <v>3</v>
      </c>
      <c r="B4" s="31"/>
      <c r="C4" s="20">
        <f>_xlfn.LET(_xlpm.Revenue, Operating_Cashflows!B4, _xlpm.opEx, Operating_Cashflows!C4, _xlpm.Maintenance, Operating_Cashflows!D4, _xlpm.Revenue - _xlpm.opEx - _xlpm.Maintenance)</f>
        <v>16880000</v>
      </c>
      <c r="D4" s="20">
        <f>Inputs!$B$7*Inputs!$B$5</f>
        <v>7500000</v>
      </c>
      <c r="E4" s="20">
        <f t="shared" si="0"/>
        <v>5484615.384615384</v>
      </c>
      <c r="F4" s="20">
        <f>_xlfn.LET(_xlpm.CFADS, C4, _xlpm.TargetDSCR,  Inputs!$B$6, (_xlpm.CFADS/_xlpm.TargetDSCR))</f>
        <v>12984615.384615384</v>
      </c>
      <c r="G4" s="21">
        <f t="shared" si="1"/>
        <v>1.3</v>
      </c>
      <c r="H4" s="19"/>
      <c r="I4" s="22">
        <v>2921538.461538462</v>
      </c>
    </row>
    <row r="5" spans="1:9" x14ac:dyDescent="0.35">
      <c r="A5" s="18">
        <v>4</v>
      </c>
      <c r="B5" s="31"/>
      <c r="C5" s="20">
        <f>_xlfn.LET(_xlpm.Revenue, Operating_Cashflows!B5, _xlpm.opEx, Operating_Cashflows!C5, _xlpm.Maintenance, Operating_Cashflows!D5, _xlpm.Revenue - _xlpm.opEx - _xlpm.Maintenance)</f>
        <v>16960000</v>
      </c>
      <c r="D5" s="20">
        <f>Inputs!$B$7*Inputs!$B$5</f>
        <v>7500000</v>
      </c>
      <c r="E5" s="20">
        <f t="shared" si="0"/>
        <v>5546153.846153846</v>
      </c>
      <c r="F5" s="20">
        <f>_xlfn.LET(_xlpm.CFADS, C5, _xlpm.TargetDSCR,  Inputs!$B$6, (_xlpm.CFADS/_xlpm.TargetDSCR))</f>
        <v>13046153.846153846</v>
      </c>
      <c r="G5" s="21">
        <f t="shared" si="1"/>
        <v>1.3</v>
      </c>
      <c r="H5" s="19"/>
      <c r="I5" s="22">
        <v>2935384.6153846155</v>
      </c>
    </row>
    <row r="6" spans="1:9" x14ac:dyDescent="0.35">
      <c r="A6" s="18">
        <v>5</v>
      </c>
      <c r="B6" s="31"/>
      <c r="C6" s="20">
        <f>_xlfn.LET(_xlpm.Revenue, Operating_Cashflows!B6, _xlpm.opEx, Operating_Cashflows!C6, _xlpm.Maintenance, Operating_Cashflows!D6, _xlpm.Revenue - _xlpm.opEx - _xlpm.Maintenance)</f>
        <v>17240000</v>
      </c>
      <c r="D6" s="20">
        <f>Inputs!$B$7*Inputs!$B$5</f>
        <v>7500000</v>
      </c>
      <c r="E6" s="20">
        <f t="shared" si="0"/>
        <v>5761538.461538462</v>
      </c>
      <c r="F6" s="20">
        <f>_xlfn.LET(_xlpm.CFADS, C6, _xlpm.TargetDSCR,  Inputs!$B$6, (_xlpm.CFADS/_xlpm.TargetDSCR))</f>
        <v>13261538.461538462</v>
      </c>
      <c r="G6" s="21">
        <f t="shared" si="1"/>
        <v>1.3</v>
      </c>
      <c r="H6" s="19"/>
      <c r="I6" s="22">
        <v>2983846.1538461535</v>
      </c>
    </row>
    <row r="7" spans="1:9" x14ac:dyDescent="0.35">
      <c r="A7" s="18">
        <v>6</v>
      </c>
      <c r="B7" s="31"/>
      <c r="C7" s="20">
        <f>_xlfn.LET(_xlpm.Revenue, Operating_Cashflows!B7, _xlpm.opEx, Operating_Cashflows!C7, _xlpm.Maintenance, Operating_Cashflows!D7, _xlpm.Revenue - _xlpm.opEx - _xlpm.Maintenance)</f>
        <v>17220000</v>
      </c>
      <c r="D7" s="20">
        <f>Inputs!$B$7*Inputs!$B$5</f>
        <v>7500000</v>
      </c>
      <c r="E7" s="20">
        <f t="shared" si="0"/>
        <v>5746153.846153846</v>
      </c>
      <c r="F7" s="20">
        <f>_xlfn.LET(_xlpm.CFADS, C7, _xlpm.TargetDSCR,  Inputs!$B$6, (_xlpm.CFADS/_xlpm.TargetDSCR))</f>
        <v>13246153.846153846</v>
      </c>
      <c r="G7" s="21">
        <f t="shared" si="1"/>
        <v>1.3</v>
      </c>
      <c r="H7" s="19"/>
      <c r="I7" s="22">
        <v>2980384.6153846155</v>
      </c>
    </row>
    <row r="8" spans="1:9" x14ac:dyDescent="0.35">
      <c r="A8" s="18">
        <v>7</v>
      </c>
      <c r="B8" s="31"/>
      <c r="C8" s="20">
        <f>_xlfn.LET(_xlpm.Revenue, Operating_Cashflows!B8, _xlpm.opEx, Operating_Cashflows!C8, _xlpm.Maintenance, Operating_Cashflows!D8, _xlpm.Revenue - _xlpm.opEx - _xlpm.Maintenance)</f>
        <v>17400000</v>
      </c>
      <c r="D8" s="20">
        <f>Inputs!$B$7*Inputs!$B$5</f>
        <v>7500000</v>
      </c>
      <c r="E8" s="20">
        <f t="shared" si="0"/>
        <v>5884615.384615384</v>
      </c>
      <c r="F8" s="20">
        <f>_xlfn.LET(_xlpm.CFADS, C8, _xlpm.TargetDSCR,  Inputs!$B$6, (_xlpm.CFADS/_xlpm.TargetDSCR))</f>
        <v>13384615.384615384</v>
      </c>
      <c r="G8" s="21">
        <f t="shared" si="1"/>
        <v>1.3</v>
      </c>
      <c r="H8" s="19"/>
      <c r="I8" s="22">
        <v>3011538.461538462</v>
      </c>
    </row>
    <row r="9" spans="1:9" x14ac:dyDescent="0.35">
      <c r="A9" s="18">
        <v>8</v>
      </c>
      <c r="B9" s="31"/>
      <c r="C9" s="20">
        <f>_xlfn.LET(_xlpm.Revenue, Operating_Cashflows!B9, _xlpm.opEx, Operating_Cashflows!C9, _xlpm.Maintenance, Operating_Cashflows!D9, _xlpm.Revenue - _xlpm.opEx - _xlpm.Maintenance)</f>
        <v>16950000</v>
      </c>
      <c r="D9" s="20">
        <f>Inputs!$B$7*Inputs!$B$5</f>
        <v>7500000</v>
      </c>
      <c r="E9" s="20">
        <f t="shared" si="0"/>
        <v>5538461.538461538</v>
      </c>
      <c r="F9" s="20">
        <f>_xlfn.LET(_xlpm.CFADS, C9, _xlpm.TargetDSCR,  Inputs!$B$6, (_xlpm.CFADS/_xlpm.TargetDSCR))</f>
        <v>13038461.538461538</v>
      </c>
      <c r="G9" s="21">
        <f t="shared" si="1"/>
        <v>1.3</v>
      </c>
      <c r="H9" s="19"/>
      <c r="I9" s="22">
        <v>2933653.8461538465</v>
      </c>
    </row>
    <row r="10" spans="1:9" x14ac:dyDescent="0.35">
      <c r="A10" s="18">
        <v>9</v>
      </c>
      <c r="B10" s="31"/>
      <c r="C10" s="20">
        <f>_xlfn.LET(_xlpm.Revenue, Operating_Cashflows!B10, _xlpm.opEx, Operating_Cashflows!C10, _xlpm.Maintenance, Operating_Cashflows!D10, _xlpm.Revenue - _xlpm.opEx - _xlpm.Maintenance)</f>
        <v>17428571.428571399</v>
      </c>
      <c r="D10" s="20">
        <f>Inputs!$B$7*Inputs!$B$5</f>
        <v>7500000</v>
      </c>
      <c r="E10" s="20">
        <f t="shared" si="0"/>
        <v>5906593.4065933842</v>
      </c>
      <c r="F10" s="20">
        <f>_xlfn.LET(_xlpm.CFADS, C10, _xlpm.TargetDSCR,  Inputs!$B$6, (_xlpm.CFADS/_xlpm.TargetDSCR))</f>
        <v>13406593.406593384</v>
      </c>
      <c r="G10" s="21">
        <f t="shared" si="1"/>
        <v>1.3</v>
      </c>
      <c r="H10" s="19"/>
      <c r="I10" s="22">
        <v>3016483.5164835113</v>
      </c>
    </row>
    <row r="11" spans="1:9" x14ac:dyDescent="0.35">
      <c r="A11" s="18">
        <v>10</v>
      </c>
      <c r="B11" s="31"/>
      <c r="C11" s="20">
        <f>_xlfn.LET(_xlpm.Revenue, Operating_Cashflows!B11, _xlpm.opEx, Operating_Cashflows!C11, _xlpm.Maintenance, Operating_Cashflows!D11, _xlpm.Revenue - _xlpm.opEx - _xlpm.Maintenance)</f>
        <v>17641071.428571399</v>
      </c>
      <c r="D11" s="20">
        <f>Inputs!$B$7*Inputs!$B$5</f>
        <v>7500000</v>
      </c>
      <c r="E11" s="20">
        <f t="shared" si="0"/>
        <v>6070054.9450549223</v>
      </c>
      <c r="F11" s="20">
        <f>_xlfn.LET(_xlpm.CFADS, C11, _xlpm.TargetDSCR,  Inputs!$B$6, (_xlpm.CFADS/_xlpm.TargetDSCR))</f>
        <v>13570054.945054922</v>
      </c>
      <c r="G11" s="21">
        <f t="shared" si="1"/>
        <v>1.3</v>
      </c>
      <c r="H11" s="19"/>
      <c r="I11" s="22">
        <v>3053262.3626373578</v>
      </c>
    </row>
    <row r="12" spans="1:9" x14ac:dyDescent="0.35">
      <c r="A12" s="18">
        <v>11</v>
      </c>
      <c r="B12" s="31"/>
      <c r="C12" s="20">
        <f>_xlfn.LET(_xlpm.Revenue, Operating_Cashflows!B12, _xlpm.opEx, Operating_Cashflows!C12, _xlpm.Maintenance, Operating_Cashflows!D12, _xlpm.Revenue - _xlpm.opEx - _xlpm.Maintenance)</f>
        <v>17853571.428571399</v>
      </c>
      <c r="D12" s="20">
        <f>Inputs!$B$7*Inputs!$B$5</f>
        <v>7500000</v>
      </c>
      <c r="E12" s="20">
        <f t="shared" si="0"/>
        <v>6233516.4835164603</v>
      </c>
      <c r="F12" s="20">
        <f>_xlfn.LET(_xlpm.CFADS, C12, _xlpm.TargetDSCR,  Inputs!$B$6, (_xlpm.CFADS/_xlpm.TargetDSCR))</f>
        <v>13733516.48351646</v>
      </c>
      <c r="G12" s="21">
        <f t="shared" si="1"/>
        <v>1.3</v>
      </c>
      <c r="H12" s="19"/>
      <c r="I12" s="22">
        <v>3090041.2087912043</v>
      </c>
    </row>
    <row r="13" spans="1:9" x14ac:dyDescent="0.35">
      <c r="A13" s="18">
        <v>12</v>
      </c>
      <c r="B13" s="31"/>
      <c r="C13" s="20">
        <f>_xlfn.LET(_xlpm.Revenue, Operating_Cashflows!B13, _xlpm.opEx, Operating_Cashflows!C13, _xlpm.Maintenance, Operating_Cashflows!D13, _xlpm.Revenue - _xlpm.opEx - _xlpm.Maintenance)</f>
        <v>18066071.428571399</v>
      </c>
      <c r="D13" s="20">
        <f>Inputs!$B$7*Inputs!$B$5</f>
        <v>7500000</v>
      </c>
      <c r="E13" s="20">
        <f t="shared" si="0"/>
        <v>6396978.0219779983</v>
      </c>
      <c r="F13" s="20">
        <f>_xlfn.LET(_xlpm.CFADS, C13, _xlpm.TargetDSCR,  Inputs!$B$6, (_xlpm.CFADS/_xlpm.TargetDSCR))</f>
        <v>13896978.021977998</v>
      </c>
      <c r="G13" s="21">
        <f t="shared" si="1"/>
        <v>1.3</v>
      </c>
      <c r="H13" s="19"/>
      <c r="I13" s="22">
        <v>3126820.0549450507</v>
      </c>
    </row>
    <row r="14" spans="1:9" x14ac:dyDescent="0.35">
      <c r="A14" s="18">
        <v>13</v>
      </c>
      <c r="B14" s="31"/>
      <c r="C14" s="20">
        <f>_xlfn.LET(_xlpm.Revenue, Operating_Cashflows!B14, _xlpm.opEx, Operating_Cashflows!C14, _xlpm.Maintenance, Operating_Cashflows!D14, _xlpm.Revenue - _xlpm.opEx - _xlpm.Maintenance)</f>
        <v>18278571.428571399</v>
      </c>
      <c r="D14" s="20">
        <f>Inputs!$B$7*Inputs!$B$5</f>
        <v>7500000</v>
      </c>
      <c r="E14" s="20">
        <f t="shared" si="0"/>
        <v>6560439.5604395382</v>
      </c>
      <c r="F14" s="20">
        <f>_xlfn.LET(_xlpm.CFADS, C14, _xlpm.TargetDSCR,  Inputs!$B$6, (_xlpm.CFADS/_xlpm.TargetDSCR))</f>
        <v>14060439.560439538</v>
      </c>
      <c r="G14" s="21">
        <f t="shared" si="1"/>
        <v>1.3</v>
      </c>
      <c r="H14" s="19"/>
      <c r="I14" s="22">
        <v>3163598.9010988958</v>
      </c>
    </row>
    <row r="15" spans="1:9" x14ac:dyDescent="0.35">
      <c r="A15" s="18">
        <v>14</v>
      </c>
      <c r="B15" s="31"/>
      <c r="C15" s="20">
        <f>_xlfn.LET(_xlpm.Revenue, Operating_Cashflows!B15, _xlpm.opEx, Operating_Cashflows!C15, _xlpm.Maintenance, Operating_Cashflows!D15, _xlpm.Revenue - _xlpm.opEx - _xlpm.Maintenance)</f>
        <v>18491071.428571399</v>
      </c>
      <c r="D15" s="20">
        <f>Inputs!$B$7*Inputs!$B$5</f>
        <v>7500000</v>
      </c>
      <c r="E15" s="20">
        <f t="shared" si="0"/>
        <v>6723901.0989010762</v>
      </c>
      <c r="F15" s="20">
        <f>_xlfn.LET(_xlpm.CFADS, C15, _xlpm.TargetDSCR,  Inputs!$B$6, (_xlpm.CFADS/_xlpm.TargetDSCR))</f>
        <v>14223901.098901076</v>
      </c>
      <c r="G15" s="21">
        <f t="shared" si="1"/>
        <v>1.3</v>
      </c>
      <c r="H15" s="19"/>
      <c r="I15" s="22">
        <v>3200377.7472527423</v>
      </c>
    </row>
    <row r="16" spans="1:9" x14ac:dyDescent="0.35">
      <c r="A16" s="18">
        <v>15</v>
      </c>
      <c r="B16" s="31"/>
      <c r="C16" s="20">
        <f>_xlfn.LET(_xlpm.Revenue, Operating_Cashflows!B16, _xlpm.opEx, Operating_Cashflows!C16, _xlpm.Maintenance, Operating_Cashflows!D16, _xlpm.Revenue - _xlpm.opEx - _xlpm.Maintenance)</f>
        <v>18703571.428571399</v>
      </c>
      <c r="D16" s="20">
        <f>Inputs!$B$7*Inputs!$B$5</f>
        <v>7500000</v>
      </c>
      <c r="E16" s="20">
        <f t="shared" si="0"/>
        <v>6887362.6373626143</v>
      </c>
      <c r="F16" s="20">
        <f>_xlfn.LET(_xlpm.CFADS, C16, _xlpm.TargetDSCR,  Inputs!$B$6, (_xlpm.CFADS/_xlpm.TargetDSCR))</f>
        <v>14387362.637362614</v>
      </c>
      <c r="G16" s="21">
        <f t="shared" si="1"/>
        <v>1.3</v>
      </c>
      <c r="H16" s="23">
        <f>B2-SUM(E2:E16)</f>
        <v>30875000.000000149</v>
      </c>
      <c r="I16" s="22">
        <v>3237156.5934065888</v>
      </c>
    </row>
    <row r="17" spans="1:9" x14ac:dyDescent="0.35">
      <c r="A17" s="24"/>
      <c r="B17" s="32"/>
      <c r="C17" s="24"/>
      <c r="D17" s="24"/>
      <c r="E17" s="24"/>
      <c r="F17" s="24"/>
      <c r="G17" s="24"/>
      <c r="H17" s="24"/>
      <c r="I17" s="25"/>
    </row>
    <row r="18" spans="1:9" ht="15" thickBot="1" x14ac:dyDescent="0.4">
      <c r="A18" s="26" t="s">
        <v>26</v>
      </c>
      <c r="B18" s="33">
        <f>B2</f>
        <v>120000000</v>
      </c>
      <c r="C18" s="27">
        <f>SUM(C2:C16)</f>
        <v>262112499.99999982</v>
      </c>
      <c r="D18" s="27">
        <f>SUM(D2:D16)</f>
        <v>112500000</v>
      </c>
      <c r="E18" s="27">
        <f t="shared" ref="E18:F18" si="2">SUM(E2:E16)</f>
        <v>89124999.999999851</v>
      </c>
      <c r="F18" s="27">
        <f t="shared" si="2"/>
        <v>201624999.99999982</v>
      </c>
      <c r="G18" s="26">
        <f>G16</f>
        <v>1.3</v>
      </c>
      <c r="H18" s="28">
        <f>H16</f>
        <v>30875000.000000149</v>
      </c>
      <c r="I18" s="29">
        <f>_xlfn.LET(_xlpm.ExcessCash, C18-F18, _xlpm.LockUpThresh, 1.2, _xlpm.DSCR, 1.3, _xlpm.Sweep_Percentage, 0.75, IF(_xlpm.DSCR &gt; _xlpm.LockUpThresh, _xlpm.ExcessCash * _xlpm.Sweep_Percentage, 0))</f>
        <v>45365625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82E9-4328-4428-9343-4EF6E364A2AD}">
  <dimension ref="B2:H4"/>
  <sheetViews>
    <sheetView topLeftCell="B1" workbookViewId="0">
      <selection activeCell="B2" sqref="B2:H4"/>
    </sheetView>
  </sheetViews>
  <sheetFormatPr defaultRowHeight="14.5" x14ac:dyDescent="0.35"/>
  <cols>
    <col min="2" max="2" width="20.90625" customWidth="1"/>
    <col min="4" max="4" width="17.54296875" customWidth="1"/>
    <col min="6" max="6" width="19.6328125" customWidth="1"/>
    <col min="8" max="8" width="13.90625" customWidth="1"/>
  </cols>
  <sheetData>
    <row r="2" spans="2:8" ht="38" x14ac:dyDescent="0.45">
      <c r="B2" s="7" t="s">
        <v>23</v>
      </c>
      <c r="C2" s="7"/>
      <c r="D2" s="7" t="s">
        <v>24</v>
      </c>
      <c r="E2" s="7"/>
      <c r="F2" s="7" t="s">
        <v>25</v>
      </c>
      <c r="H2" s="8" t="s">
        <v>28</v>
      </c>
    </row>
    <row r="4" spans="2:8" x14ac:dyDescent="0.35">
      <c r="B4" t="b" cm="1">
        <f t="array" ref="B4">_xlfn.LET(_xlpm.Target_DSCR, Inputs!B6, MAX(ABS(Debt_Schedule!G2:G15 - _xlpm.Target_DSCR)) &lt; 0.01)</f>
        <v>1</v>
      </c>
      <c r="D4" t="b">
        <f>Debt_Schedule!C16-Debt_Schedule!F16 &gt;= 0</f>
        <v>1</v>
      </c>
      <c r="F4" t="b">
        <f>Debt_Schedule!H16=0</f>
        <v>0</v>
      </c>
      <c r="H4" s="9" t="str">
        <f>IF(Debt_Schedule!G16 &lt; 1.2, "LOCKED", "OK")</f>
        <v>OK</v>
      </c>
    </row>
  </sheetData>
  <conditionalFormatting sqref="B4 H4">
    <cfRule type="expression" dxfId="9" priority="1">
      <formula>OR("TRUE","OK")</formula>
    </cfRule>
  </conditionalFormatting>
  <conditionalFormatting sqref="D4 F4">
    <cfRule type="expression" dxfId="8" priority="2">
      <formula xml:space="preserve"> FALSE</formula>
    </cfRule>
  </conditionalFormatting>
  <conditionalFormatting sqref="D4">
    <cfRule type="expression" dxfId="7" priority="3">
      <formula>INDIRECT("$D$4") = TRUE</formula>
    </cfRule>
  </conditionalFormatting>
  <conditionalFormatting sqref="F4">
    <cfRule type="expression" dxfId="6" priority="4">
      <formula>INDIRECT("$F$4") = FALSE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229B-831F-43B7-8FC9-CA9B90A72D92}">
  <dimension ref="A1:A47"/>
  <sheetViews>
    <sheetView zoomScale="62" workbookViewId="0">
      <selection activeCell="A6" sqref="A6"/>
    </sheetView>
  </sheetViews>
  <sheetFormatPr defaultRowHeight="14.5" x14ac:dyDescent="0.35"/>
  <cols>
    <col min="1" max="1" width="68.6328125" customWidth="1"/>
    <col min="4" max="4" width="8.7265625" customWidth="1"/>
    <col min="8" max="8" width="8.7265625" customWidth="1"/>
  </cols>
  <sheetData>
    <row r="1" spans="1:1" ht="23.5" x14ac:dyDescent="0.35">
      <c r="A1" s="34" t="str">
        <f>"Airport Debt Summary - Base Case" &amp; CHAR(10)</f>
        <v xml:space="preserve">Airport Debt Summary - Base Case
</v>
      </c>
    </row>
    <row r="2" spans="1:1" x14ac:dyDescent="0.35">
      <c r="A2" t="str">
        <f>"Debt Overview" &amp; CHAR(10)</f>
        <v xml:space="preserve">Debt Overview
</v>
      </c>
    </row>
    <row r="3" spans="1:1" ht="17.5" x14ac:dyDescent="0.35">
      <c r="A3" s="35" t="str">
        <f>"The project is financed with a senior amortising facility with an initial principal of " &amp; TEXT(Debt_Schedule!B2, "#,##0 $") &amp; ",  target DSCR of " &amp; TEXT(Inputs!B6, "0.00x") &amp; " over period of " &amp; Inputs!B4 &amp; " . Debt service is fully supported by project CFADS throughout the operating period." &amp; CHAR(10) &amp; CHAR(10)</f>
        <v xml:space="preserve">The project is financed with a senior amortising facility with an initial principal of 120,000,000 $,  target DSCR of 1.30x over period of 12 years . Debt service is fully supported by project CFADS throughout the operating period.
</v>
      </c>
    </row>
    <row r="5" spans="1:1" x14ac:dyDescent="0.35">
      <c r="A5" t="str">
        <f>"Cash Flow &amp; Debt Service Performance" &amp; CHAR(10)</f>
        <v xml:space="preserve">Cash Flow &amp; Debt Service Performance
</v>
      </c>
    </row>
    <row r="6" spans="1:1" x14ac:dyDescent="0.35">
      <c r="A6" t="str">
        <f>"Across the life of the debt, the project generates cumulative CFADS of " &amp; TEXT(Debt_Schedule!C18, "#,##0 $") &amp; ", compared to total debt service obligations of " &amp; TEXT(Debt_Schedule!F18, "#,##0 $") &amp; CHAR(10)</f>
        <v xml:space="preserve">Across the life of the debt, the project generates cumulative CFADS of 262,112,500 $, compared to total debt service obligations of 201,625,000 $
</v>
      </c>
    </row>
    <row r="7" spans="1:1" x14ac:dyDescent="0.35">
      <c r="A7" t="str">
        <f>"Interest payments amount to " &amp; TEXT(Debt_Schedule!D18, "#,##0 $") &amp; " over the tenor, while cumulative principal repayments reach " &amp; TEXT(Debt_Schedule!E18, "#,##0 $") &amp; ", supported by recurring cash sweeps totaling " &amp; TEXT(Debt_Schedule!I18, "#,##0 $") &amp; "." &amp; CHAR(10) &amp; CHAR(10)</f>
        <v xml:space="preserve">Interest payments amount to 112,500,000 $ over the tenor, while cumulative principal repayments reach 89,125,000 $, supported by recurring cash sweeps totaling 45,365,625 $.
</v>
      </c>
    </row>
    <row r="9" spans="1:1" ht="17.5" x14ac:dyDescent="0.35">
      <c r="A9" s="35" t="str">
        <f>"Amortisation &amp; Residual Risk" &amp; CHAR(10)</f>
        <v xml:space="preserve">Amortisation &amp; Residual Risk
</v>
      </c>
    </row>
    <row r="10" spans="1:1" x14ac:dyDescent="0.35">
      <c r="A10" t="str">
        <f>"Despite regular scheduled amortisation and excess cash application, the facility is not fully repaid at maturity, leaving a residual outstanding balance of " &amp; TEXT(Debt_Schedule!H18, "#,##0 $") &amp; " in the final year. This residual exposure represents a refinancing or balloon risk that must be addressed through refinancing, extension, or equity support." &amp; CHAR(10) &amp; CHAR(10)</f>
        <v xml:space="preserve">Despite regular scheduled amortisation and excess cash application, the facility is not fully repaid at maturity, leaving a residual outstanding balance of 30,875,000 $ in the final year. This residual exposure represents a refinancing or balloon risk that must be addressed through refinancing, extension, or equity support.
</v>
      </c>
    </row>
    <row r="12" spans="1:1" x14ac:dyDescent="0.35">
      <c r="A12" t="str">
        <f>"Covenant &amp; Structural Checks" &amp; CHAR(10)</f>
        <v xml:space="preserve">Covenant &amp; Structural Checks
</v>
      </c>
    </row>
    <row r="13" spans="1:1" x14ac:dyDescent="0.35">
      <c r="A13" t="str">
        <f>"DSCR compliance: " &amp; 'Debt checks'!B4 &amp; CHAR(10)</f>
        <v xml:space="preserve">DSCR compliance: TRUE
</v>
      </c>
    </row>
    <row r="14" spans="1:1" x14ac:dyDescent="0.35">
      <c r="A14" t="str">
        <f>"Cash leakage: " &amp; 'Debt checks'!D4 &amp; CHAR(10)</f>
        <v xml:space="preserve">Cash leakage: TRUE
</v>
      </c>
    </row>
    <row r="15" spans="1:1" x14ac:dyDescent="0.35">
      <c r="A15" t="str">
        <f>"Debt fully repaid: " &amp; 'Debt checks'!F4 &amp; CHAR(10)</f>
        <v xml:space="preserve">Debt fully repaid: FALSE
</v>
      </c>
    </row>
    <row r="16" spans="1:1" x14ac:dyDescent="0.35">
      <c r="A16" t="str">
        <f>"Lock-up trigger status: " &amp; 'Debt checks'!H4 &amp; CHAR(10)</f>
        <v xml:space="preserve">Lock-up trigger status: OK
</v>
      </c>
    </row>
    <row r="17" spans="1:1" ht="17.5" x14ac:dyDescent="0.35">
      <c r="A17" s="35" t="str">
        <f>"No DSCR breaches are observed in the base case, and no structural cash leakage is identified. However, the presence of a material terminal balance indicates lender exposure beyond the base operating cash flows." &amp; CHAR(10) &amp; CHAR(10)</f>
        <v xml:space="preserve">No DSCR breaches are observed in the base case, and no structural cash leakage is identified. However, the presence of a material terminal balance indicates lender exposure beyond the base operating cash flows.
</v>
      </c>
    </row>
    <row r="19" spans="1:1" x14ac:dyDescent="0.35">
      <c r="A19" t="str">
        <f>"Credit Assessment (Lender View)" &amp; CHAR(10)</f>
        <v xml:space="preserve">Credit Assessment (Lender View)
</v>
      </c>
    </row>
    <row r="20" spans="1:1" x14ac:dyDescent="0.35">
      <c r="A20" t="str">
        <f>"✔ Strong and stable DSCR profile throughout the tenor" &amp; CHAR(10)</f>
        <v xml:space="preserve">✔ Strong and stable DSCR profile throughout the tenor
</v>
      </c>
    </row>
    <row r="21" spans="1:1" x14ac:dyDescent="0.35">
      <c r="A21" t="str">
        <f>"✔ Consistent cash generation with surplus applied via cash sweep" &amp; CHAR(10)</f>
        <v xml:space="preserve">✔ Consistent cash generation with surplus applied via cash sweep
</v>
      </c>
    </row>
    <row r="22" spans="1:1" x14ac:dyDescent="0.35">
      <c r="A22" t="str">
        <f>"⚠ Material residual debt at maturity (" &amp; TEXT(Debt_Schedule!H18, "#,##0 $") &amp; ")" &amp; CHAR(10)</f>
        <v xml:space="preserve">⚠ Material residual debt at maturity (30,875,000 $)
</v>
      </c>
    </row>
    <row r="23" spans="1:1" ht="23.5" customHeight="1" x14ac:dyDescent="0.35">
      <c r="A23" s="35" t="str">
        <f>"⚠ Reliance on refinancing or terminal value realization" &amp; CHAR(10) &amp; CHAR(10)</f>
        <v xml:space="preserve">⚠ Reliance on refinancing or terminal value realization
</v>
      </c>
    </row>
    <row r="24" spans="1:1" x14ac:dyDescent="0.35">
      <c r="A24" s="36"/>
    </row>
    <row r="25" spans="1:1" x14ac:dyDescent="0.35">
      <c r="A25" s="38" t="str">
        <f>"Conclusion: The structure is creditworthy from a cash flow coverage perspective but exhibits balloon risk, which should be mitigated via refinancing assumptions, DSRA sizing, or increased amortisation under stress cases."</f>
        <v>Conclusion: The structure is creditworthy from a cash flow coverage perspective but exhibits balloon risk, which should be mitigated via refinancing assumptions, DSRA sizing, or increased amortisation under stress cases.</v>
      </c>
    </row>
    <row r="26" spans="1:1" x14ac:dyDescent="0.35">
      <c r="A26" s="36"/>
    </row>
    <row r="27" spans="1:1" x14ac:dyDescent="0.35">
      <c r="A27" s="38"/>
    </row>
    <row r="28" spans="1:1" x14ac:dyDescent="0.35">
      <c r="A28" s="36"/>
    </row>
    <row r="29" spans="1:1" x14ac:dyDescent="0.35">
      <c r="A29" s="38"/>
    </row>
    <row r="30" spans="1:1" x14ac:dyDescent="0.35">
      <c r="A30" s="36"/>
    </row>
    <row r="31" spans="1:1" x14ac:dyDescent="0.35">
      <c r="A31" s="38"/>
    </row>
    <row r="37" spans="1:1" ht="17.5" x14ac:dyDescent="0.35">
      <c r="A37" s="35"/>
    </row>
    <row r="38" spans="1:1" x14ac:dyDescent="0.35">
      <c r="A38" s="36"/>
    </row>
    <row r="39" spans="1:1" x14ac:dyDescent="0.35">
      <c r="A39" s="36"/>
    </row>
    <row r="40" spans="1:1" x14ac:dyDescent="0.35">
      <c r="A40" s="36"/>
    </row>
    <row r="41" spans="1:1" x14ac:dyDescent="0.35">
      <c r="A41" s="36"/>
    </row>
    <row r="42" spans="1:1" x14ac:dyDescent="0.35">
      <c r="A42" s="36"/>
    </row>
    <row r="43" spans="1:1" x14ac:dyDescent="0.35">
      <c r="A43" s="36"/>
    </row>
    <row r="44" spans="1:1" x14ac:dyDescent="0.35">
      <c r="A44" s="36"/>
    </row>
    <row r="45" spans="1:1" x14ac:dyDescent="0.35">
      <c r="A45" s="36"/>
    </row>
    <row r="47" spans="1:1" x14ac:dyDescent="0.35">
      <c r="A47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Inputs</vt:lpstr>
      <vt:lpstr>Operating_Cashflows</vt:lpstr>
      <vt:lpstr>Debt_Schedule</vt:lpstr>
      <vt:lpstr>Debt checks</vt:lpstr>
      <vt:lpstr>Summary</vt:lpstr>
      <vt:lpstr>DSCR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Plotnikov</dc:creator>
  <cp:lastModifiedBy>Andrii Plotnikov</cp:lastModifiedBy>
  <dcterms:created xsi:type="dcterms:W3CDTF">2026-01-05T07:57:35Z</dcterms:created>
  <dcterms:modified xsi:type="dcterms:W3CDTF">2026-02-02T10:56:10Z</dcterms:modified>
</cp:coreProperties>
</file>